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very 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<sst xmlns="http://schemas.openxmlformats.org/spreadsheetml/2006/main" count="71" uniqueCount="51">
  <si>
    <t xml:space="preserve">Title</t>
  </si>
  <si>
    <t xml:space="preserve">Region</t>
  </si>
  <si>
    <t xml:space="preserve">Plan Date</t>
  </si>
  <si>
    <t xml:space="preserve">Actual Date</t>
  </si>
  <si>
    <t xml:space="preserve">Duration (Plan)</t>
  </si>
  <si>
    <t xml:space="preserve">Duration (Actual)</t>
  </si>
  <si>
    <t xml:space="preserve">Variance (Days)</t>
  </si>
  <si>
    <t xml:space="preserve">Status</t>
  </si>
  <si>
    <t xml:space="preserve">Introduction to Python</t>
  </si>
  <si>
    <t xml:space="preserve">APAC</t>
  </si>
  <si>
    <t xml:space="preserve">2024-01-10</t>
  </si>
  <si>
    <t xml:space="preserve">2024-01-09</t>
  </si>
  <si>
    <t xml:space="preserve">Business Analytics 101</t>
  </si>
  <si>
    <t xml:space="preserve">EMEA</t>
  </si>
  <si>
    <t xml:space="preserve">2024-01-15</t>
  </si>
  <si>
    <t xml:space="preserve">2024-01-18</t>
  </si>
  <si>
    <t xml:space="preserve">Data Science Fundamentals</t>
  </si>
  <si>
    <t xml:space="preserve">Americas</t>
  </si>
  <si>
    <t xml:space="preserve">2024-01-20</t>
  </si>
  <si>
    <t xml:space="preserve">Engineering Mathematics</t>
  </si>
  <si>
    <t xml:space="preserve">2024-02-01</t>
  </si>
  <si>
    <t xml:space="preserve">2024-02-05</t>
  </si>
  <si>
    <t xml:space="preserve">Academic Writing Guide</t>
  </si>
  <si>
    <t xml:space="preserve">2024-02-04</t>
  </si>
  <si>
    <t xml:space="preserve">Statistics for Beginners</t>
  </si>
  <si>
    <t xml:space="preserve">2024-02-10</t>
  </si>
  <si>
    <t xml:space="preserve">2024-02-14</t>
  </si>
  <si>
    <t xml:space="preserve">Higher Education Handbook</t>
  </si>
  <si>
    <t xml:space="preserve">2024-02-15</t>
  </si>
  <si>
    <t xml:space="preserve">Research Methods</t>
  </si>
  <si>
    <t xml:space="preserve">2024-03-01</t>
  </si>
  <si>
    <t xml:space="preserve">2024-03-07</t>
  </si>
  <si>
    <t xml:space="preserve">Digital Marketing Essentials</t>
  </si>
  <si>
    <t xml:space="preserve">2024-03-05</t>
  </si>
  <si>
    <t xml:space="preserve">2024-03-04</t>
  </si>
  <si>
    <t xml:space="preserve">Physics Textbook Vol.2</t>
  </si>
  <si>
    <t xml:space="preserve">2024-03-10</t>
  </si>
  <si>
    <t xml:space="preserve">2024-03-18</t>
  </si>
  <si>
    <t xml:space="preserve">Psychology of Learning</t>
  </si>
  <si>
    <t xml:space="preserve">2024-03-15</t>
  </si>
  <si>
    <t xml:space="preserve">Economics Core Concepts</t>
  </si>
  <si>
    <t xml:space="preserve">2024-03-20</t>
  </si>
  <si>
    <t xml:space="preserve">2024-03-22</t>
  </si>
  <si>
    <t xml:space="preserve">📚  Pearson IHE — Book Delivery Tracker</t>
  </si>
  <si>
    <t xml:space="preserve">Region: All  |  Period: Jan–Mar 2024  |  Last Refreshed: 01 Apr 2024</t>
  </si>
  <si>
    <t xml:space="preserve">Total Titles</t>
  </si>
  <si>
    <t xml:space="preserve">Early</t>
  </si>
  <si>
    <t xml:space="preserve">On-Time</t>
  </si>
  <si>
    <t xml:space="preserve">Delayed</t>
  </si>
  <si>
    <t xml:space="preserve">Delivery Summary by Region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</si>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</sst>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26"/>
      <color rgb="FF1F3864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4FB"/>
        <bgColor rgb="FFF4F8FC"/>
      </patternFill>
    </fill>
    <fill>
      <patternFill patternType="solid">
        <fgColor rgb="FFFFFFFF"/>
        <bgColor rgb="FFF9F9F9"/>
      </patternFill>
    </fill>
    <fill>
      <patternFill patternType="solid">
        <fgColor rgb="FFF4F8FC"/>
        <bgColor rgb="FFF9F9F9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D9D9D9"/>
      </patternFill>
    </fill>
    <fill>
      <patternFill patternType="solid">
        <fgColor rgb="FFFFC7CE"/>
        <bgColor rgb="FFD9D9D9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C9D6E3"/>
      </left>
      <right style="thin">
        <color rgb="FFC9D6E3"/>
      </right>
      <top style="thin">
        <color rgb="FFC9D6E3"/>
      </top>
      <bottom style="thin">
        <color rgb="FFC9D6E3"/>
      </bottom>
      <diagonal/>
    </border>
    <border diagonalUp="false" diagonalDown="false">
      <left style="medium">
        <color rgb="FF1F3864"/>
      </left>
      <right/>
      <top style="medium">
        <color rgb="FF1F3864"/>
      </top>
      <bottom/>
      <diagonal/>
    </border>
    <border diagonalUp="false" diagonalDown="false">
      <left/>
      <right/>
      <top style="medium">
        <color rgb="FF1F3864"/>
      </top>
      <bottom/>
      <diagonal/>
    </border>
    <border diagonalUp="false" diagonalDown="false">
      <left/>
      <right style="medium">
        <color rgb="FF1F3864"/>
      </right>
      <top style="medium">
        <color rgb="FF1F3864"/>
      </top>
      <bottom/>
      <diagonal/>
    </border>
    <border diagonalUp="false" diagonalDown="false">
      <left style="medium">
        <color rgb="FF1F3864"/>
      </left>
      <right/>
      <top/>
      <bottom/>
      <diagonal/>
    </border>
    <border diagonalUp="false" diagonalDown="false">
      <left/>
      <right style="medium">
        <color rgb="FF1F3864"/>
      </right>
      <top/>
      <bottom/>
      <diagonal/>
    </border>
    <border diagonalUp="false" diagonalDown="false">
      <left style="medium">
        <color rgb="FF1F3864"/>
      </left>
      <right/>
      <top/>
      <bottom style="medium">
        <color rgb="FF1F3864"/>
      </bottom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 style="medium">
        <color rgb="FF1F3864"/>
      </right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EEF4FB"/>
      <rgbColor rgb="FF660066"/>
      <rgbColor rgb="FFFF8080"/>
      <rgbColor rgb="FF0066CC"/>
      <rgbColor rgb="FFC9D6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8FC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555555"/>
      <rgbColor rgb="FF888888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Deliveries by Status &amp;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Dashboard!D11</c:f>
              <c:strCache>
                <c:ptCount val="1"/>
                <c:pt idx="0">
                  <c:v>Early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Dashboard!$B$12:$B$14</c:f>
              <c:strCache>
                <c:ptCount val="3"/>
                <c:pt idx="0">
                  <c:v>APAC</c:v>
                </c:pt>
                <c:pt idx="1">
                  <c:v>EMEA</c:v>
                </c:pt>
                <c:pt idx="2">
                  <c:v>Americas</c:v>
                </c:pt>
              </c:strCache>
            </c:strRef>
          </c:cat>
          <c:val>
            <c:numRef>
              <c:f>Dashboard!$D$12:$D$14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Dashboard!E11</c:f>
              <c:strCache>
                <c:ptCount val="1"/>
                <c:pt idx="0">
                  <c:v>On-Time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Dashboard!$B$12:$B$14</c:f>
              <c:strCache>
                <c:ptCount val="3"/>
                <c:pt idx="0">
                  <c:v>APAC</c:v>
                </c:pt>
                <c:pt idx="1">
                  <c:v>EMEA</c:v>
                </c:pt>
                <c:pt idx="2">
                  <c:v>Americas</c:v>
                </c:pt>
              </c:strCache>
            </c:strRef>
          </c:cat>
          <c:val>
            <c:numRef>
              <c:f>Dashboard!$E$12:$E$14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2"/>
          <c:order val="2"/>
          <c:tx>
            <c:strRef>
              <c:f>Dashboard!F11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rgbClr val="ff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Dashboard!$B$12:$B$14</c:f>
              <c:strCache>
                <c:ptCount val="3"/>
                <c:pt idx="0">
                  <c:v>APAC</c:v>
                </c:pt>
                <c:pt idx="1">
                  <c:v>EMEA</c:v>
                </c:pt>
                <c:pt idx="2">
                  <c:v>Americas</c:v>
                </c:pt>
              </c:strCache>
            </c:strRef>
          </c:cat>
          <c:val>
            <c:numRef>
              <c:f>Dashboard!$F$12:$F$14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gapWidth val="150"/>
        <c:overlap val="0"/>
        <c:axId val="59272695"/>
        <c:axId val="30683248"/>
      </c:barChart>
      <c:catAx>
        <c:axId val="592726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83248"/>
        <c:crosses val="autoZero"/>
        <c:auto val="1"/>
        <c:lblAlgn val="ctr"/>
        <c:lblOffset val="100"/>
        <c:noMultiLvlLbl val="0"/>
      </c:catAx>
      <c:valAx>
        <c:axId val="306832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726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100800</xdr:rowOff>
    </xdr:from>
    <xdr:to>
      <xdr:col>6</xdr:col>
      <xdr:colOff>402840</xdr:colOff>
      <xdr:row>33</xdr:row>
      <xdr:rowOff>81000</xdr:rowOff>
    </xdr:to>
    <xdr:graphicFrame>
      <xdr:nvGraphicFramePr>
        <xdr:cNvPr id="0" name="Chart 1"/>
        <xdr:cNvGraphicFramePr/>
      </xdr:nvGraphicFramePr>
      <xdr:xfrm>
        <a:off x="611640" y="32004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3" t="s">
        <v>10</v>
      </c>
      <c r="D2" s="3" t="s">
        <v>11</v>
      </c>
      <c r="E2" s="3" t="n">
        <v>30</v>
      </c>
      <c r="F2" s="3" t="n">
        <v>29</v>
      </c>
      <c r="G2" s="3" t="n">
        <f aca="false">F2-E2</f>
        <v>-1</v>
      </c>
      <c r="H2" s="3" t="str">
        <f aca="false">IF(G2&lt;0,"Early",IF(G2=0,"On-Time","Delayed"))</f>
        <v>Early</v>
      </c>
    </row>
    <row r="3" customFormat="false" ht="15" hidden="false" customHeight="false" outlineLevel="0" collapsed="false">
      <c r="A3" s="4" t="s">
        <v>12</v>
      </c>
      <c r="B3" s="5" t="s">
        <v>13</v>
      </c>
      <c r="C3" s="5" t="s">
        <v>14</v>
      </c>
      <c r="D3" s="5" t="s">
        <v>15</v>
      </c>
      <c r="E3" s="5" t="n">
        <v>25</v>
      </c>
      <c r="F3" s="5" t="n">
        <v>28</v>
      </c>
      <c r="G3" s="5" t="n">
        <f aca="false">F3-E3</f>
        <v>3</v>
      </c>
      <c r="H3" s="5" t="str">
        <f aca="false">IF(G3&lt;0,"Early",IF(G3=0,"On-Time","Delayed"))</f>
        <v>Delayed</v>
      </c>
    </row>
    <row r="4" customFormat="false" ht="15" hidden="false" customHeight="false" outlineLevel="0" collapsed="false">
      <c r="A4" s="2" t="s">
        <v>16</v>
      </c>
      <c r="B4" s="3" t="s">
        <v>17</v>
      </c>
      <c r="C4" s="3" t="s">
        <v>18</v>
      </c>
      <c r="D4" s="3" t="s">
        <v>18</v>
      </c>
      <c r="E4" s="3" t="n">
        <v>35</v>
      </c>
      <c r="F4" s="3" t="n">
        <v>35</v>
      </c>
      <c r="G4" s="3" t="n">
        <f aca="false">F4-E4</f>
        <v>0</v>
      </c>
      <c r="H4" s="3" t="str">
        <f aca="false">IF(G4&lt;0,"Early",IF(G4=0,"On-Time","Delayed"))</f>
        <v>On-Time</v>
      </c>
    </row>
    <row r="5" customFormat="false" ht="15" hidden="false" customHeight="false" outlineLevel="0" collapsed="false">
      <c r="A5" s="4" t="s">
        <v>19</v>
      </c>
      <c r="B5" s="5" t="s">
        <v>9</v>
      </c>
      <c r="C5" s="5" t="s">
        <v>20</v>
      </c>
      <c r="D5" s="5" t="s">
        <v>21</v>
      </c>
      <c r="E5" s="5" t="n">
        <v>40</v>
      </c>
      <c r="F5" s="5" t="n">
        <v>44</v>
      </c>
      <c r="G5" s="5" t="n">
        <f aca="false">F5-E5</f>
        <v>4</v>
      </c>
      <c r="H5" s="5" t="str">
        <f aca="false">IF(G5&lt;0,"Early",IF(G5=0,"On-Time","Delayed"))</f>
        <v>Delayed</v>
      </c>
    </row>
    <row r="6" customFormat="false" ht="15" hidden="false" customHeight="false" outlineLevel="0" collapsed="false">
      <c r="A6" s="2" t="s">
        <v>22</v>
      </c>
      <c r="B6" s="3" t="s">
        <v>13</v>
      </c>
      <c r="C6" s="3" t="s">
        <v>21</v>
      </c>
      <c r="D6" s="3" t="s">
        <v>23</v>
      </c>
      <c r="E6" s="3" t="n">
        <v>20</v>
      </c>
      <c r="F6" s="3" t="n">
        <v>19</v>
      </c>
      <c r="G6" s="3" t="n">
        <f aca="false">F6-E6</f>
        <v>-1</v>
      </c>
      <c r="H6" s="3" t="str">
        <f aca="false">IF(G6&lt;0,"Early",IF(G6=0,"On-Time","Delayed"))</f>
        <v>Early</v>
      </c>
    </row>
    <row r="7" customFormat="false" ht="15" hidden="false" customHeight="false" outlineLevel="0" collapsed="false">
      <c r="A7" s="4" t="s">
        <v>24</v>
      </c>
      <c r="B7" s="5" t="s">
        <v>17</v>
      </c>
      <c r="C7" s="5" t="s">
        <v>25</v>
      </c>
      <c r="D7" s="5" t="s">
        <v>26</v>
      </c>
      <c r="E7" s="5" t="n">
        <v>28</v>
      </c>
      <c r="F7" s="5" t="n">
        <v>32</v>
      </c>
      <c r="G7" s="5" t="n">
        <f aca="false">F7-E7</f>
        <v>4</v>
      </c>
      <c r="H7" s="5" t="str">
        <f aca="false">IF(G7&lt;0,"Early",IF(G7=0,"On-Time","Delayed"))</f>
        <v>Delayed</v>
      </c>
    </row>
    <row r="8" customFormat="false" ht="15" hidden="false" customHeight="false" outlineLevel="0" collapsed="false">
      <c r="A8" s="2" t="s">
        <v>27</v>
      </c>
      <c r="B8" s="3" t="s">
        <v>9</v>
      </c>
      <c r="C8" s="3" t="s">
        <v>28</v>
      </c>
      <c r="D8" s="3" t="s">
        <v>28</v>
      </c>
      <c r="E8" s="3" t="n">
        <v>45</v>
      </c>
      <c r="F8" s="3" t="n">
        <v>45</v>
      </c>
      <c r="G8" s="3" t="n">
        <f aca="false">F8-E8</f>
        <v>0</v>
      </c>
      <c r="H8" s="3" t="str">
        <f aca="false">IF(G8&lt;0,"Early",IF(G8=0,"On-Time","Delayed"))</f>
        <v>On-Time</v>
      </c>
    </row>
    <row r="9" customFormat="false" ht="15" hidden="false" customHeight="false" outlineLevel="0" collapsed="false">
      <c r="A9" s="4" t="s">
        <v>29</v>
      </c>
      <c r="B9" s="5" t="s">
        <v>13</v>
      </c>
      <c r="C9" s="5" t="s">
        <v>30</v>
      </c>
      <c r="D9" s="5" t="s">
        <v>31</v>
      </c>
      <c r="E9" s="5" t="n">
        <v>30</v>
      </c>
      <c r="F9" s="5" t="n">
        <v>36</v>
      </c>
      <c r="G9" s="5" t="n">
        <f aca="false">F9-E9</f>
        <v>6</v>
      </c>
      <c r="H9" s="5" t="str">
        <f aca="false">IF(G9&lt;0,"Early",IF(G9=0,"On-Time","Delayed"))</f>
        <v>Delayed</v>
      </c>
    </row>
    <row r="10" customFormat="false" ht="15" hidden="false" customHeight="false" outlineLevel="0" collapsed="false">
      <c r="A10" s="2" t="s">
        <v>32</v>
      </c>
      <c r="B10" s="3" t="s">
        <v>17</v>
      </c>
      <c r="C10" s="3" t="s">
        <v>33</v>
      </c>
      <c r="D10" s="3" t="s">
        <v>34</v>
      </c>
      <c r="E10" s="3" t="n">
        <v>22</v>
      </c>
      <c r="F10" s="3" t="n">
        <v>21</v>
      </c>
      <c r="G10" s="3" t="n">
        <f aca="false">F10-E10</f>
        <v>-1</v>
      </c>
      <c r="H10" s="3" t="str">
        <f aca="false">IF(G10&lt;0,"Early",IF(G10=0,"On-Time","Delayed"))</f>
        <v>Early</v>
      </c>
    </row>
    <row r="11" customFormat="false" ht="15" hidden="false" customHeight="false" outlineLevel="0" collapsed="false">
      <c r="A11" s="4" t="s">
        <v>35</v>
      </c>
      <c r="B11" s="5" t="s">
        <v>9</v>
      </c>
      <c r="C11" s="5" t="s">
        <v>36</v>
      </c>
      <c r="D11" s="5" t="s">
        <v>37</v>
      </c>
      <c r="E11" s="5" t="n">
        <v>50</v>
      </c>
      <c r="F11" s="5" t="n">
        <v>58</v>
      </c>
      <c r="G11" s="5" t="n">
        <f aca="false">F11-E11</f>
        <v>8</v>
      </c>
      <c r="H11" s="5" t="str">
        <f aca="false">IF(G11&lt;0,"Early",IF(G11=0,"On-Time","Delayed"))</f>
        <v>Delayed</v>
      </c>
    </row>
    <row r="12" customFormat="false" ht="15" hidden="false" customHeight="false" outlineLevel="0" collapsed="false">
      <c r="A12" s="2" t="s">
        <v>38</v>
      </c>
      <c r="B12" s="3" t="s">
        <v>13</v>
      </c>
      <c r="C12" s="3" t="s">
        <v>39</v>
      </c>
      <c r="D12" s="3" t="s">
        <v>39</v>
      </c>
      <c r="E12" s="3" t="n">
        <v>33</v>
      </c>
      <c r="F12" s="3" t="n">
        <v>33</v>
      </c>
      <c r="G12" s="3" t="n">
        <f aca="false">F12-E12</f>
        <v>0</v>
      </c>
      <c r="H12" s="3" t="str">
        <f aca="false">IF(G12&lt;0,"Early",IF(G12=0,"On-Time","Delayed"))</f>
        <v>On-Time</v>
      </c>
    </row>
    <row r="13" customFormat="false" ht="15" hidden="false" customHeight="false" outlineLevel="0" collapsed="false">
      <c r="A13" s="4" t="s">
        <v>40</v>
      </c>
      <c r="B13" s="5" t="s">
        <v>17</v>
      </c>
      <c r="C13" s="5" t="s">
        <v>41</v>
      </c>
      <c r="D13" s="5" t="s">
        <v>42</v>
      </c>
      <c r="E13" s="5" t="n">
        <v>27</v>
      </c>
      <c r="F13" s="5" t="n">
        <v>29</v>
      </c>
      <c r="G13" s="5" t="n">
        <f aca="false">F13-E13</f>
        <v>2</v>
      </c>
      <c r="H13" s="5" t="str">
        <f aca="false">IF(G13&lt;0,"Early",IF(G13=0,"On-Time","Delayed"))</f>
        <v>Delayed</v>
      </c>
    </row>
  </sheetData>
  <conditionalFormatting sqref="H2:H13">
    <cfRule type="cellIs" priority="2" operator="equal" aboveAverage="0" equalAverage="0" bottom="0" percent="0" rank="0" text="" dxfId="0">
      <formula>"Early"</formula>
    </cfRule>
    <cfRule type="cellIs" priority="3" operator="equal" aboveAverage="0" equalAverage="0" bottom="0" percent="0" rank="0" text="" dxfId="1">
      <formula>"On-Time"</formula>
    </cfRule>
    <cfRule type="cellIs" priority="4" operator="equal" aboveAverage="0" equalAverage="0" bottom="0" percent="0" rank="0" text="" dxfId="2">
      <formula>"Delayed"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8"/>
    <col collapsed="false" customWidth="true" hidden="false" outlineLevel="0" max="10" min="3" style="0" width="12"/>
  </cols>
  <sheetData>
    <row r="1" customFormat="false" ht="15" hidden="false" customHeight="false" outlineLevel="0" collapsed="false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customFormat="false" ht="22.05" hidden="false" customHeight="false" outlineLevel="0" collapsed="false">
      <c r="A2" s="6"/>
      <c r="B2" s="7" t="s">
        <v>43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customFormat="false" ht="15" hidden="false" customHeight="false" outlineLevel="0" collapsed="false">
      <c r="A3" s="6"/>
      <c r="B3" s="8" t="s">
        <v>44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customFormat="false" ht="24" hidden="false" customHeight="true" outlineLevel="0" collapsed="false">
      <c r="A5" s="6"/>
      <c r="B5" s="9"/>
      <c r="C5" s="10"/>
      <c r="D5" s="11"/>
      <c r="E5" s="6"/>
      <c r="F5" s="12"/>
      <c r="G5" s="13"/>
      <c r="H5" s="14"/>
      <c r="I5" s="6"/>
      <c r="J5" s="15"/>
      <c r="K5" s="16"/>
      <c r="L5" s="17"/>
      <c r="M5" s="6"/>
      <c r="N5" s="18"/>
      <c r="O5" s="19"/>
      <c r="P5" s="20"/>
      <c r="Q5" s="6"/>
      <c r="R5" s="6"/>
      <c r="S5" s="6"/>
    </row>
    <row r="6" customFormat="false" ht="24" hidden="false" customHeight="true" outlineLevel="0" collapsed="false">
      <c r="A6" s="6"/>
      <c r="B6" s="21"/>
      <c r="C6" s="22" t="n">
        <f aca="false">COUNTA('Delivery Data'!A2:A13)</f>
        <v>12</v>
      </c>
      <c r="D6" s="23"/>
      <c r="E6" s="6"/>
      <c r="F6" s="24"/>
      <c r="G6" s="25" t="n">
        <f aca="false">COUNTIF('Delivery Data'!H2:H13,"Early")</f>
        <v>3</v>
      </c>
      <c r="H6" s="26"/>
      <c r="I6" s="6"/>
      <c r="J6" s="27"/>
      <c r="K6" s="28" t="n">
        <f aca="false">COUNTIF('Delivery Data'!H2:H13,"On-Time")</f>
        <v>3</v>
      </c>
      <c r="L6" s="29"/>
      <c r="M6" s="6"/>
      <c r="N6" s="30"/>
      <c r="O6" s="31" t="n">
        <f aca="false">COUNTIF('Delivery Data'!H2:H13,"Delayed")</f>
        <v>6</v>
      </c>
      <c r="P6" s="32"/>
      <c r="Q6" s="6"/>
      <c r="R6" s="6"/>
      <c r="S6" s="6"/>
    </row>
    <row r="7" customFormat="false" ht="24" hidden="false" customHeight="true" outlineLevel="0" collapsed="false">
      <c r="A7" s="6"/>
      <c r="B7" s="33"/>
      <c r="C7" s="34" t="s">
        <v>45</v>
      </c>
      <c r="D7" s="35"/>
      <c r="E7" s="6"/>
      <c r="F7" s="36"/>
      <c r="G7" s="37" t="s">
        <v>46</v>
      </c>
      <c r="H7" s="38"/>
      <c r="I7" s="6"/>
      <c r="J7" s="39"/>
      <c r="K7" s="40" t="s">
        <v>47</v>
      </c>
      <c r="L7" s="41"/>
      <c r="M7" s="6"/>
      <c r="N7" s="42"/>
      <c r="O7" s="43" t="s">
        <v>48</v>
      </c>
      <c r="P7" s="44"/>
      <c r="Q7" s="6"/>
      <c r="R7" s="6"/>
      <c r="S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customFormat="false" ht="15" hidden="false" customHeight="false" outlineLevel="0" collapsed="false">
      <c r="A10" s="6"/>
      <c r="B10" s="45" t="s">
        <v>49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customFormat="false" ht="15" hidden="false" customHeight="false" outlineLevel="0" collapsed="false">
      <c r="A11" s="6"/>
      <c r="B11" s="1" t="s">
        <v>1</v>
      </c>
      <c r="C11" s="1" t="s">
        <v>50</v>
      </c>
      <c r="D11" s="1" t="s">
        <v>46</v>
      </c>
      <c r="E11" s="1" t="s">
        <v>47</v>
      </c>
      <c r="F11" s="1" t="s">
        <v>48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customFormat="false" ht="15" hidden="false" customHeight="false" outlineLevel="0" collapsed="false">
      <c r="A12" s="6"/>
      <c r="B12" s="3" t="s">
        <v>9</v>
      </c>
      <c r="C12" s="3" t="n">
        <f aca="false">COUNTIF('Delivery Data'!B2:B13,"APAC")</f>
        <v>4</v>
      </c>
      <c r="D12" s="3" t="n">
        <f aca="false">COUNTIFS('Delivery Data'!B2:B13,"APAC",'Delivery Data'!H2:H13,"Early")</f>
        <v>1</v>
      </c>
      <c r="E12" s="3" t="n">
        <f aca="false">COUNTIFS('Delivery Data'!B2:B13,"APAC",'Delivery Data'!H2:H13,"On-Time")</f>
        <v>1</v>
      </c>
      <c r="F12" s="3" t="n">
        <f aca="false">COUNTIFS('Delivery Data'!B2:B13,"APAC",'Delivery Data'!H2:H13,"Delayed")</f>
        <v>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customFormat="false" ht="15" hidden="false" customHeight="false" outlineLevel="0" collapsed="false">
      <c r="A13" s="6"/>
      <c r="B13" s="5" t="s">
        <v>13</v>
      </c>
      <c r="C13" s="5" t="n">
        <f aca="false">COUNTIF('Delivery Data'!B2:B13,"EMEA")</f>
        <v>4</v>
      </c>
      <c r="D13" s="5" t="n">
        <f aca="false">COUNTIFS('Delivery Data'!B2:B13,"EMEA",'Delivery Data'!H2:H13,"Early")</f>
        <v>1</v>
      </c>
      <c r="E13" s="5" t="n">
        <f aca="false">COUNTIFS('Delivery Data'!B2:B13,"EMEA",'Delivery Data'!H2:H13,"On-Time")</f>
        <v>1</v>
      </c>
      <c r="F13" s="5" t="n">
        <f aca="false">COUNTIFS('Delivery Data'!B2:B13,"EMEA",'Delivery Data'!H2:H13,"Delayed")</f>
        <v>2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customFormat="false" ht="15" hidden="false" customHeight="false" outlineLevel="0" collapsed="false">
      <c r="A14" s="6"/>
      <c r="B14" s="3" t="s">
        <v>17</v>
      </c>
      <c r="C14" s="3" t="n">
        <f aca="false">COUNTIF('Delivery Data'!B2:B13,"Americas")</f>
        <v>4</v>
      </c>
      <c r="D14" s="3" t="n">
        <f aca="false">COUNTIFS('Delivery Data'!B2:B13,"Americas",'Delivery Data'!H2:H13,"Early")</f>
        <v>1</v>
      </c>
      <c r="E14" s="3" t="n">
        <f aca="false">COUNTIFS('Delivery Data'!B2:B13,"Americas",'Delivery Data'!H2:H13,"On-Time")</f>
        <v>1</v>
      </c>
      <c r="F14" s="3" t="n">
        <f aca="false">COUNTIFS('Delivery Data'!B2:B13,"Americas",'Delivery Data'!H2:H13,"Delayed")</f>
        <v>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2026-02-26T11:20:56Z</dcterms:created>
  <dc:creator>openpyxl</dc:creator>
  <dc:description/>
  <dc:language>en-US</dc:language>
  <cp:lastModifiedBy/>
  <dcterms:modified xsi:type="dcterms:W3CDTF">2026-02-26T11:21:05Z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